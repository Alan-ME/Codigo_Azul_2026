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_Gantt" sheetId="1" r:id="rId4"/>
    <sheet state="visible" name="Matriz_RACI" sheetId="2" r:id="rId5"/>
    <sheet state="visible" name="Riesgos_y_Decisiones" sheetId="3" r:id="rId6"/>
  </sheets>
  <definedNames/>
  <calcPr/>
  <extLst>
    <ext uri="GoogleSheetsCustomDataVersion2">
      <go:sheetsCustomData xmlns:go="http://customooxmlschemas.google.com/" r:id="rId7" roundtripDataChecksum="NwHemekakeYQPx8kYfO+Ye2HjuwvtfEZK4kTvzHhvhk="/>
    </ext>
  </extLst>
</workbook>
</file>

<file path=xl/sharedStrings.xml><?xml version="1.0" encoding="utf-8"?>
<sst xmlns="http://schemas.openxmlformats.org/spreadsheetml/2006/main" count="203" uniqueCount="113">
  <si>
    <t>MATRIZ DE ASIGNACIÓN DE RESPONSABILIDADES (RACI)</t>
  </si>
  <si>
    <t>REGISTRO DE RIESGOS Y DECISIONES TÉCNICAS</t>
  </si>
  <si>
    <t>R = Responsable | A = Aprobador | C = Consultado | I = Informado</t>
  </si>
  <si>
    <t>ID</t>
  </si>
  <si>
    <t>Entregable / Actividad</t>
  </si>
  <si>
    <t>PLANIFICACIÓN DE PROYECTO - CRONOGRAMA &amp; BACKLOG</t>
  </si>
  <si>
    <t>Tipo</t>
  </si>
  <si>
    <t>Descripción del Riesgo / Decisión</t>
  </si>
  <si>
    <t>Alan Martinez (Líder)</t>
  </si>
  <si>
    <t>MÉTRICAS DEL PROYECTO</t>
  </si>
  <si>
    <t>Impacto</t>
  </si>
  <si>
    <t>Ivan Cardozo Backend</t>
  </si>
  <si>
    <t>Probabilidad</t>
  </si>
  <si>
    <t>Estrategia de Mitigación / Justificación</t>
  </si>
  <si>
    <t>Alex Heredia Real-Time</t>
  </si>
  <si>
    <t>Estado</t>
  </si>
  <si>
    <t>Franco Sarrautte Web</t>
  </si>
  <si>
    <t>R-01</t>
  </si>
  <si>
    <t>Franco Sarrautte Mobile</t>
  </si>
  <si>
    <t>Project Charter &amp; Gobernanza</t>
  </si>
  <si>
    <t>Riesgo Técnico</t>
  </si>
  <si>
    <t>Alta latencia en notificaciones Push (FCM) con celulares bloqueados.</t>
  </si>
  <si>
    <t>A / R</t>
  </si>
  <si>
    <t>Alto</t>
  </si>
  <si>
    <t>Media</t>
  </si>
  <si>
    <t>E.E.S.T. N.º 2 "Educación y Trabajo" | Control de Hitos y Entregables</t>
  </si>
  <si>
    <t>I</t>
  </si>
  <si>
    <t>Implementar Socket.IO como canal primario en primer plano y FCM en background.</t>
  </si>
  <si>
    <t>Total Tareas:</t>
  </si>
  <si>
    <t>Abierto</t>
  </si>
  <si>
    <t>R-02</t>
  </si>
  <si>
    <t>Riesgo Tiempo</t>
  </si>
  <si>
    <t>Documento de Visión y Alcance (MVP)</t>
  </si>
  <si>
    <t>Incompatibilidad de horarios para integración de los 5 módulos.</t>
  </si>
  <si>
    <t>Alta</t>
  </si>
  <si>
    <t>Fijar contratos de API REST y payload de WebSockets desde el Día 2.</t>
  </si>
  <si>
    <t>C</t>
  </si>
  <si>
    <t>Mitigado</t>
  </si>
  <si>
    <t>D-01</t>
  </si>
  <si>
    <t>Decisión Stack</t>
  </si>
  <si>
    <t>Congelamiento de stack: Node.js + PostgreSQL + React + React Native.</t>
  </si>
  <si>
    <t>Especificación de Requerimientos (SRS)</t>
  </si>
  <si>
    <t>N/A</t>
  </si>
  <si>
    <t>A</t>
  </si>
  <si>
    <t>Evita deuda técnica y búsquedas de alternativas durante los 5 días.</t>
  </si>
  <si>
    <t>R</t>
  </si>
  <si>
    <t>Aprobado</t>
  </si>
  <si>
    <t>D-02</t>
  </si>
  <si>
    <t>Decisión DB</t>
  </si>
  <si>
    <t>Avance General:</t>
  </si>
  <si>
    <t>Uso de PostgreSQL con tipos ENUM para estados y JSONB para auditoría.</t>
  </si>
  <si>
    <t>Medio</t>
  </si>
  <si>
    <t>Modelo ER y Base de Datos PostgreSQL</t>
  </si>
  <si>
    <t>Garantiza consistencia ACID estricta y flexibilidad en la telemetría.</t>
  </si>
  <si>
    <t>Diagramación UML y Arquitectura SAD</t>
  </si>
  <si>
    <t>Tareas Completadas:</t>
  </si>
  <si>
    <t>Servidor Express / NestJS &amp; Auth JWT</t>
  </si>
  <si>
    <t>Fase / Módulo</t>
  </si>
  <si>
    <t>Tarea / Entregable</t>
  </si>
  <si>
    <t>Gateway Socket.IO &amp; Push FCM</t>
  </si>
  <si>
    <t>Responsable</t>
  </si>
  <si>
    <t>Día Inicio</t>
  </si>
  <si>
    <t>Duración (Días)</t>
  </si>
  <si>
    <t>Predecesora</t>
  </si>
  <si>
    <t>Interfaz Web React (Dashboard)</t>
  </si>
  <si>
    <t>Avance %</t>
  </si>
  <si>
    <t>T-01</t>
  </si>
  <si>
    <t>00. Gestión</t>
  </si>
  <si>
    <t>Definición de Project Charter y Asignación de Roles</t>
  </si>
  <si>
    <t>Aplicación Mobile React Native</t>
  </si>
  <si>
    <t>Alan Martinez</t>
  </si>
  <si>
    <t>-</t>
  </si>
  <si>
    <t>Completado</t>
  </si>
  <si>
    <t>Ejecución de Pruebas &amp; Latencia</t>
  </si>
  <si>
    <t>T-02</t>
  </si>
  <si>
    <t>Estructuración de Google Drive y Repositorio GitHub</t>
  </si>
  <si>
    <t>Informe Técnico Final &amp; Presentación</t>
  </si>
  <si>
    <t>T-03</t>
  </si>
  <si>
    <t>01. Análisis</t>
  </si>
  <si>
    <t>Redacción del Documento de Visión y Alcance (MVP)</t>
  </si>
  <si>
    <t>T-04</t>
  </si>
  <si>
    <t>Especificación de Requerimientos (SRS) y Casos de Uso</t>
  </si>
  <si>
    <t>T-05</t>
  </si>
  <si>
    <t>02. Arquitectura</t>
  </si>
  <si>
    <t>Diseño del Modelo ER y Tablas de Auditoría en PostgreSQL</t>
  </si>
  <si>
    <t>T-06</t>
  </si>
  <si>
    <t>Diagramación UML (Clases, Secuencia y C4)</t>
  </si>
  <si>
    <t>Marcos Silvani</t>
  </si>
  <si>
    <t>T-07</t>
  </si>
  <si>
    <t>03. Desarrollo</t>
  </si>
  <si>
    <t>Setup de Servidor Node.js + Auth JWT + API REST</t>
  </si>
  <si>
    <t>Ivan Cardozo</t>
  </si>
  <si>
    <t>T-08</t>
  </si>
  <si>
    <t>Implementación Gateway Socket.IO + Integración FCM</t>
  </si>
  <si>
    <t>Alex Heredia / Ivan Cardozo</t>
  </si>
  <si>
    <t>T-09</t>
  </si>
  <si>
    <t>Desarrollo SPA Frontend Web Dashboard (React)</t>
  </si>
  <si>
    <t>Franco Sarrautte</t>
  </si>
  <si>
    <t>T-10</t>
  </si>
  <si>
    <t>Desarrollo App Móvil Botón Pánico (React Native)</t>
  </si>
  <si>
    <t>T-11</t>
  </si>
  <si>
    <t>04. Pruebas</t>
  </si>
  <si>
    <t>Pruebas Integradas, Medición de Latencia y Bug Fixing</t>
  </si>
  <si>
    <t>Alex Heredia / Franco Sarrautte</t>
  </si>
  <si>
    <t>T-08, T-09, T-10</t>
  </si>
  <si>
    <t>En progreso</t>
  </si>
  <si>
    <t>T-12</t>
  </si>
  <si>
    <t>05. Cierre</t>
  </si>
  <si>
    <t>Consolidación de Documentación Técnica Final e Informe</t>
  </si>
  <si>
    <t>T-13</t>
  </si>
  <si>
    <t>Preparación de Diapositivas, Script y Demo de Defensa</t>
  </si>
  <si>
    <t>Todos</t>
  </si>
  <si>
    <t>Pendiente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</si>
</sst>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7">
    <font>
      <sz val="11.0"/>
      <color theme="1"/>
      <name val="Calibri"/>
      <scheme val="minor"/>
    </font>
    <font>
      <b/>
      <sz val="16.0"/>
      <color rgb="FF1A365D"/>
      <name val="Arial"/>
    </font>
    <font>
      <i/>
      <sz val="11.0"/>
      <color rgb="FF4A5568"/>
      <name val="Arial"/>
    </font>
    <font>
      <b/>
      <sz val="10.0"/>
      <color rgb="FFFFFFFF"/>
      <name val="Arial"/>
    </font>
    <font>
      <sz val="10.0"/>
      <color rgb="FF2D3748"/>
      <name val="Arial"/>
    </font>
    <font/>
    <font>
      <b/>
      <sz val="10.0"/>
      <color rgb="FF2D3748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A365D"/>
        <bgColor rgb="FF1A365D"/>
      </patternFill>
    </fill>
    <fill>
      <patternFill patternType="solid">
        <fgColor rgb="FFF7FAFC"/>
        <bgColor rgb="FFF7FAFC"/>
      </patternFill>
    </fill>
  </fills>
  <borders count="5">
    <border/>
    <border>
      <left/>
      <right/>
      <top/>
      <bottom/>
    </border>
    <border>
      <lef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1" fillId="2" fontId="3" numFmtId="0" xfId="0" applyAlignment="1" applyBorder="1" applyFill="1" applyFont="1">
      <alignment horizontal="left" vertical="center"/>
    </xf>
    <xf borderId="1" fillId="2" fontId="3" numFmtId="0" xfId="0" applyAlignment="1" applyBorder="1" applyFill="1" applyFont="1">
      <alignment horizontal="center" readingOrder="0" vertical="center"/>
    </xf>
    <xf borderId="2" fillId="2" fontId="3" numFmtId="0" xfId="0" applyAlignment="1" applyBorder="1" applyFill="1" applyFont="1">
      <alignment horizontal="center" vertical="center"/>
    </xf>
    <xf borderId="3" fillId="3" fontId="4" numFmtId="0" xfId="0" applyAlignment="1" applyBorder="1" applyFill="1" applyFont="1">
      <alignment horizontal="center" vertical="center"/>
    </xf>
    <xf borderId="3" fillId="3" fontId="4" numFmtId="0" xfId="0" applyAlignment="1" applyBorder="1" applyFill="1" applyFont="1">
      <alignment horizontal="left" vertical="center"/>
    </xf>
    <xf borderId="4" fillId="0" fontId="5" numFmtId="0" xfId="0" applyBorder="1" applyFont="1"/>
    <xf borderId="3" fillId="3" fontId="6" numFmtId="0" xfId="0" applyAlignment="1" applyBorder="1" applyFill="1" applyFont="1">
      <alignment horizontal="center" vertical="center"/>
    </xf>
    <xf borderId="0" fillId="0" fontId="6" numFmtId="0" xfId="0" applyFont="1"/>
    <xf borderId="3" fillId="0" fontId="4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left" vertical="center"/>
    </xf>
    <xf borderId="3" fillId="0" fontId="6" numFmtId="0" xfId="0" applyAlignment="1" applyBorder="1" applyFont="1">
      <alignment horizontal="center" vertical="center"/>
    </xf>
    <xf borderId="0" fillId="0" fontId="6" numFmtId="164" xfId="0" applyFont="1" applyNumberFormat="1"/>
    <xf borderId="3" fillId="0" fontId="4" numFmtId="9" xfId="0" applyAlignment="1" applyBorder="1" applyFont="1" applyNumberFormat="1">
      <alignment horizontal="left" vertical="center"/>
    </xf>
    <xf borderId="3" fillId="3" fontId="4" numFmtId="9" xfId="0" applyAlignment="1" applyBorder="1" applyFill="1" applyFont="1" applyNumberFormat="1">
      <alignment horizontal="left" vertical="center"/>
    </xf>
    <xf borderId="3" fillId="0" fontId="4" numFmtId="0" xfId="0" applyAlignment="1" applyBorder="1" applyFont="1">
      <alignment horizontal="center" readingOrder="0" vertical="center"/>
    </xf>
    <xf borderId="3" fillId="0" fontId="4" numFmtId="9" xfId="0" applyAlignment="1" applyBorder="1" applyFont="1" applyNumberFormat="1">
      <alignment horizontal="left" readingOrder="0" vertical="center"/>
    </xf>
    <xf borderId="3" fillId="3" fontId="4" numFmtId="0" xfId="0" applyAlignment="1" applyBorder="1" applyFill="1" applyFont="1">
      <alignment horizontal="center" readingOrder="0" vertical="center"/>
    </xf>
    <xf borderId="3" fillId="3" fontId="4" numFmtId="9" xfId="0" applyAlignment="1" applyBorder="1" applyFill="1" applyFont="1" applyNumberFormat="1">
      <alignment horizontal="left" readingOrder="0" vertical="center"/>
    </xf>
    <xf borderId="3" fillId="0" fontId="4" numFmtId="0" xfId="0" applyAlignment="1" applyBorder="1" applyFont="1">
      <alignment horizontal="left" readingOrder="0" vertical="center"/>
    </xf>
    <xf borderId="3" fillId="3" fontId="4" numFmtId="0" xfId="0" applyAlignment="1" applyBorder="1" applyFill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0"/>
    <col customWidth="1" min="3" max="3" width="19.0"/>
    <col customWidth="1" min="4" max="4" width="59.0"/>
    <col customWidth="1" min="5" max="5" width="17.0"/>
    <col customWidth="1" min="6" max="6" width="13.0"/>
    <col customWidth="1" min="7" max="7" width="18.0"/>
    <col customWidth="1" min="8" max="8" width="19.0"/>
    <col customWidth="1" min="9" max="9" width="14.0"/>
    <col customWidth="1" min="10" max="10" width="12.0"/>
    <col customWidth="1" min="11" max="11" width="22.0"/>
    <col customWidth="1" min="12" max="12" width="33.0"/>
  </cols>
  <sheetData>
    <row r="2">
      <c r="B2" s="1" t="s">
        <v>5</v>
      </c>
      <c r="K2" s="6" t="s">
        <v>9</v>
      </c>
      <c r="L2" s="9"/>
    </row>
    <row r="3">
      <c r="B3" s="2" t="s">
        <v>25</v>
      </c>
      <c r="K3" s="11" t="s">
        <v>28</v>
      </c>
      <c r="L3" s="11">
        <f>COUNTA(B7:B19)</f>
        <v>13</v>
      </c>
    </row>
    <row r="4">
      <c r="K4" s="11" t="s">
        <v>49</v>
      </c>
      <c r="L4" s="15">
        <f>AVERAGE(J7:J19)</f>
        <v>0.8084615385</v>
      </c>
    </row>
    <row r="5">
      <c r="K5" s="11" t="s">
        <v>55</v>
      </c>
      <c r="L5" s="11">
        <f>COUNTIF(I7:I19, "Completado")</f>
        <v>10</v>
      </c>
    </row>
    <row r="6">
      <c r="B6" s="3" t="s">
        <v>3</v>
      </c>
      <c r="C6" s="4" t="s">
        <v>57</v>
      </c>
      <c r="D6" s="4" t="s">
        <v>58</v>
      </c>
      <c r="E6" s="4" t="s">
        <v>60</v>
      </c>
      <c r="F6" s="3" t="s">
        <v>61</v>
      </c>
      <c r="G6" s="3" t="s">
        <v>62</v>
      </c>
      <c r="H6" s="3" t="s">
        <v>63</v>
      </c>
      <c r="I6" s="4" t="s">
        <v>15</v>
      </c>
      <c r="J6" s="3" t="s">
        <v>65</v>
      </c>
    </row>
    <row r="7">
      <c r="B7" s="12" t="s">
        <v>66</v>
      </c>
      <c r="C7" s="13" t="s">
        <v>67</v>
      </c>
      <c r="D7" s="13" t="s">
        <v>68</v>
      </c>
      <c r="E7" s="13" t="s">
        <v>70</v>
      </c>
      <c r="F7" s="12">
        <v>1.0</v>
      </c>
      <c r="G7" s="12">
        <v>1.0</v>
      </c>
      <c r="H7" s="12" t="s">
        <v>71</v>
      </c>
      <c r="I7" s="12" t="s">
        <v>72</v>
      </c>
      <c r="J7" s="16">
        <v>1.0</v>
      </c>
    </row>
    <row r="8">
      <c r="B8" s="7" t="s">
        <v>74</v>
      </c>
      <c r="C8" s="8" t="s">
        <v>67</v>
      </c>
      <c r="D8" s="8" t="s">
        <v>75</v>
      </c>
      <c r="E8" s="8" t="s">
        <v>70</v>
      </c>
      <c r="F8" s="7">
        <v>1.0</v>
      </c>
      <c r="G8" s="7">
        <v>1.0</v>
      </c>
      <c r="H8" s="7" t="s">
        <v>66</v>
      </c>
      <c r="I8" s="7" t="s">
        <v>72</v>
      </c>
      <c r="J8" s="17">
        <v>1.0</v>
      </c>
    </row>
    <row r="9">
      <c r="B9" s="12" t="s">
        <v>77</v>
      </c>
      <c r="C9" s="13" t="s">
        <v>78</v>
      </c>
      <c r="D9" s="13" t="s">
        <v>79</v>
      </c>
      <c r="E9" s="13" t="s">
        <v>70</v>
      </c>
      <c r="F9" s="12">
        <v>1.0</v>
      </c>
      <c r="G9" s="12">
        <v>1.0</v>
      </c>
      <c r="H9" s="12" t="s">
        <v>66</v>
      </c>
      <c r="I9" s="18" t="s">
        <v>72</v>
      </c>
      <c r="J9" s="19">
        <v>1.0</v>
      </c>
    </row>
    <row r="10">
      <c r="B10" s="7" t="s">
        <v>80</v>
      </c>
      <c r="C10" s="8" t="s">
        <v>78</v>
      </c>
      <c r="D10" s="8" t="s">
        <v>81</v>
      </c>
      <c r="E10" s="8" t="s">
        <v>70</v>
      </c>
      <c r="F10" s="7">
        <v>1.0</v>
      </c>
      <c r="G10" s="20">
        <v>1.0</v>
      </c>
      <c r="H10" s="7" t="s">
        <v>77</v>
      </c>
      <c r="I10" s="20" t="s">
        <v>72</v>
      </c>
      <c r="J10" s="21">
        <v>1.0</v>
      </c>
    </row>
    <row r="11">
      <c r="B11" s="12" t="s">
        <v>82</v>
      </c>
      <c r="C11" s="13" t="s">
        <v>83</v>
      </c>
      <c r="D11" s="13" t="s">
        <v>84</v>
      </c>
      <c r="E11" s="22" t="s">
        <v>70</v>
      </c>
      <c r="F11" s="18">
        <v>1.0</v>
      </c>
      <c r="G11" s="12">
        <v>1.0</v>
      </c>
      <c r="H11" s="12" t="s">
        <v>80</v>
      </c>
      <c r="I11" s="18" t="s">
        <v>72</v>
      </c>
      <c r="J11" s="19">
        <v>1.0</v>
      </c>
    </row>
    <row r="12">
      <c r="B12" s="7" t="s">
        <v>85</v>
      </c>
      <c r="C12" s="8" t="s">
        <v>83</v>
      </c>
      <c r="D12" s="8" t="s">
        <v>86</v>
      </c>
      <c r="E12" s="23" t="s">
        <v>87</v>
      </c>
      <c r="F12" s="20">
        <v>1.0</v>
      </c>
      <c r="G12" s="20">
        <v>2.0</v>
      </c>
      <c r="H12" s="7" t="s">
        <v>80</v>
      </c>
      <c r="I12" s="20" t="s">
        <v>72</v>
      </c>
      <c r="J12" s="21">
        <v>1.0</v>
      </c>
    </row>
    <row r="13">
      <c r="B13" s="12" t="s">
        <v>88</v>
      </c>
      <c r="C13" s="13" t="s">
        <v>89</v>
      </c>
      <c r="D13" s="13" t="s">
        <v>90</v>
      </c>
      <c r="E13" s="22" t="s">
        <v>91</v>
      </c>
      <c r="F13" s="12">
        <v>2.0</v>
      </c>
      <c r="G13" s="12">
        <v>2.0</v>
      </c>
      <c r="H13" s="12" t="s">
        <v>82</v>
      </c>
      <c r="I13" s="18" t="s">
        <v>72</v>
      </c>
      <c r="J13" s="19">
        <v>1.0</v>
      </c>
    </row>
    <row r="14">
      <c r="B14" s="7" t="s">
        <v>92</v>
      </c>
      <c r="C14" s="8" t="s">
        <v>89</v>
      </c>
      <c r="D14" s="8" t="s">
        <v>93</v>
      </c>
      <c r="E14" s="23" t="s">
        <v>94</v>
      </c>
      <c r="F14" s="7">
        <v>3.0</v>
      </c>
      <c r="G14" s="7">
        <v>2.0</v>
      </c>
      <c r="H14" s="7" t="s">
        <v>88</v>
      </c>
      <c r="I14" s="20" t="s">
        <v>72</v>
      </c>
      <c r="J14" s="21">
        <v>1.0</v>
      </c>
    </row>
    <row r="15">
      <c r="B15" s="12" t="s">
        <v>95</v>
      </c>
      <c r="C15" s="13" t="s">
        <v>89</v>
      </c>
      <c r="D15" s="13" t="s">
        <v>96</v>
      </c>
      <c r="E15" s="22" t="s">
        <v>97</v>
      </c>
      <c r="F15" s="12">
        <v>3.0</v>
      </c>
      <c r="G15" s="12">
        <v>2.0</v>
      </c>
      <c r="H15" s="12" t="s">
        <v>85</v>
      </c>
      <c r="I15" s="18" t="s">
        <v>72</v>
      </c>
      <c r="J15" s="19">
        <v>1.0</v>
      </c>
    </row>
    <row r="16">
      <c r="B16" s="7" t="s">
        <v>98</v>
      </c>
      <c r="C16" s="8" t="s">
        <v>89</v>
      </c>
      <c r="D16" s="8" t="s">
        <v>99</v>
      </c>
      <c r="E16" s="23" t="s">
        <v>97</v>
      </c>
      <c r="F16" s="7">
        <v>3.0</v>
      </c>
      <c r="G16" s="7">
        <v>2.0</v>
      </c>
      <c r="H16" s="7" t="s">
        <v>85</v>
      </c>
      <c r="I16" s="20" t="s">
        <v>72</v>
      </c>
      <c r="J16" s="21">
        <v>1.0</v>
      </c>
    </row>
    <row r="17">
      <c r="B17" s="12" t="s">
        <v>100</v>
      </c>
      <c r="C17" s="13" t="s">
        <v>101</v>
      </c>
      <c r="D17" s="13" t="s">
        <v>102</v>
      </c>
      <c r="E17" s="22" t="s">
        <v>103</v>
      </c>
      <c r="F17" s="12">
        <v>4.0</v>
      </c>
      <c r="G17" s="12">
        <v>1.0</v>
      </c>
      <c r="H17" s="12" t="s">
        <v>104</v>
      </c>
      <c r="I17" s="18" t="s">
        <v>105</v>
      </c>
      <c r="J17" s="19">
        <v>0.5</v>
      </c>
    </row>
    <row r="18">
      <c r="B18" s="7" t="s">
        <v>106</v>
      </c>
      <c r="C18" s="8" t="s">
        <v>107</v>
      </c>
      <c r="D18" s="8" t="s">
        <v>108</v>
      </c>
      <c r="E18" s="8" t="s">
        <v>70</v>
      </c>
      <c r="F18" s="7">
        <v>5.0</v>
      </c>
      <c r="G18" s="7">
        <v>1.0</v>
      </c>
      <c r="H18" s="7" t="s">
        <v>100</v>
      </c>
      <c r="I18" s="20" t="s">
        <v>105</v>
      </c>
      <c r="J18" s="21">
        <v>0.01</v>
      </c>
    </row>
    <row r="19">
      <c r="B19" s="12" t="s">
        <v>109</v>
      </c>
      <c r="C19" s="13" t="s">
        <v>107</v>
      </c>
      <c r="D19" s="13" t="s">
        <v>110</v>
      </c>
      <c r="E19" s="13" t="s">
        <v>111</v>
      </c>
      <c r="F19" s="12">
        <v>5.0</v>
      </c>
      <c r="G19" s="12">
        <v>1.0</v>
      </c>
      <c r="H19" s="12" t="s">
        <v>106</v>
      </c>
      <c r="I19" s="12" t="s">
        <v>112</v>
      </c>
      <c r="J19" s="16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K2:L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41.0"/>
    <col customWidth="1" min="3" max="3" width="24.0"/>
    <col customWidth="1" min="4" max="4" width="25.0"/>
    <col customWidth="1" min="5" max="5" width="27.0"/>
    <col customWidth="1" min="6" max="6" width="21.0"/>
    <col customWidth="1" min="7" max="7" width="24.0"/>
  </cols>
  <sheetData>
    <row r="2">
      <c r="B2" s="1" t="s">
        <v>0</v>
      </c>
    </row>
    <row r="3">
      <c r="B3" s="2" t="s">
        <v>2</v>
      </c>
    </row>
    <row r="5">
      <c r="B5" s="4" t="s">
        <v>4</v>
      </c>
      <c r="C5" s="3" t="s">
        <v>8</v>
      </c>
      <c r="D5" s="5" t="s">
        <v>11</v>
      </c>
      <c r="E5" s="5" t="s">
        <v>14</v>
      </c>
      <c r="F5" s="5" t="s">
        <v>16</v>
      </c>
      <c r="G5" s="5" t="s">
        <v>18</v>
      </c>
    </row>
    <row r="6">
      <c r="B6" s="8" t="s">
        <v>19</v>
      </c>
      <c r="C6" s="10" t="s">
        <v>22</v>
      </c>
      <c r="D6" s="7" t="s">
        <v>26</v>
      </c>
      <c r="E6" s="7" t="s">
        <v>26</v>
      </c>
      <c r="F6" s="7" t="s">
        <v>26</v>
      </c>
      <c r="G6" s="7" t="s">
        <v>26</v>
      </c>
    </row>
    <row r="7">
      <c r="B7" s="13" t="s">
        <v>32</v>
      </c>
      <c r="C7" s="14" t="s">
        <v>22</v>
      </c>
      <c r="D7" s="12" t="s">
        <v>36</v>
      </c>
      <c r="E7" s="12" t="s">
        <v>36</v>
      </c>
      <c r="F7" s="12" t="s">
        <v>36</v>
      </c>
      <c r="G7" s="12" t="s">
        <v>36</v>
      </c>
    </row>
    <row r="8">
      <c r="B8" s="8" t="s">
        <v>41</v>
      </c>
      <c r="C8" s="7" t="s">
        <v>43</v>
      </c>
      <c r="D8" s="10" t="s">
        <v>45</v>
      </c>
      <c r="E8" s="7" t="s">
        <v>36</v>
      </c>
      <c r="F8" s="7" t="s">
        <v>36</v>
      </c>
      <c r="G8" s="7" t="s">
        <v>36</v>
      </c>
    </row>
    <row r="9">
      <c r="B9" s="13" t="s">
        <v>52</v>
      </c>
      <c r="C9" s="12" t="s">
        <v>43</v>
      </c>
      <c r="D9" s="14" t="s">
        <v>45</v>
      </c>
      <c r="E9" s="12" t="s">
        <v>36</v>
      </c>
      <c r="F9" s="12" t="s">
        <v>26</v>
      </c>
      <c r="G9" s="12" t="s">
        <v>26</v>
      </c>
    </row>
    <row r="10">
      <c r="B10" s="8" t="s">
        <v>54</v>
      </c>
      <c r="C10" s="10" t="s">
        <v>22</v>
      </c>
      <c r="D10" s="7" t="s">
        <v>36</v>
      </c>
      <c r="E10" s="7" t="s">
        <v>36</v>
      </c>
      <c r="F10" s="7" t="s">
        <v>26</v>
      </c>
      <c r="G10" s="7" t="s">
        <v>26</v>
      </c>
    </row>
    <row r="11">
      <c r="B11" s="13" t="s">
        <v>56</v>
      </c>
      <c r="C11" s="12" t="s">
        <v>43</v>
      </c>
      <c r="D11" s="14" t="s">
        <v>45</v>
      </c>
      <c r="E11" s="12" t="s">
        <v>36</v>
      </c>
      <c r="F11" s="12" t="s">
        <v>26</v>
      </c>
      <c r="G11" s="12" t="s">
        <v>26</v>
      </c>
    </row>
    <row r="12">
      <c r="B12" s="8" t="s">
        <v>59</v>
      </c>
      <c r="C12" s="7" t="s">
        <v>43</v>
      </c>
      <c r="D12" s="7" t="s">
        <v>36</v>
      </c>
      <c r="E12" s="10" t="s">
        <v>45</v>
      </c>
      <c r="F12" s="7" t="s">
        <v>26</v>
      </c>
      <c r="G12" s="7" t="s">
        <v>26</v>
      </c>
    </row>
    <row r="13">
      <c r="B13" s="13" t="s">
        <v>64</v>
      </c>
      <c r="C13" s="12" t="s">
        <v>43</v>
      </c>
      <c r="D13" s="12" t="s">
        <v>26</v>
      </c>
      <c r="E13" s="12" t="s">
        <v>26</v>
      </c>
      <c r="F13" s="14" t="s">
        <v>45</v>
      </c>
      <c r="G13" s="12" t="s">
        <v>26</v>
      </c>
    </row>
    <row r="14">
      <c r="B14" s="8" t="s">
        <v>69</v>
      </c>
      <c r="C14" s="7" t="s">
        <v>43</v>
      </c>
      <c r="D14" s="7" t="s">
        <v>26</v>
      </c>
      <c r="E14" s="7" t="s">
        <v>26</v>
      </c>
      <c r="F14" s="7" t="s">
        <v>26</v>
      </c>
      <c r="G14" s="10" t="s">
        <v>45</v>
      </c>
    </row>
    <row r="15">
      <c r="B15" s="13" t="s">
        <v>73</v>
      </c>
      <c r="C15" s="12" t="s">
        <v>43</v>
      </c>
      <c r="D15" s="14" t="s">
        <v>45</v>
      </c>
      <c r="E15" s="14" t="s">
        <v>45</v>
      </c>
      <c r="F15" s="14" t="s">
        <v>45</v>
      </c>
      <c r="G15" s="14" t="s">
        <v>45</v>
      </c>
    </row>
    <row r="16">
      <c r="B16" s="8" t="s">
        <v>76</v>
      </c>
      <c r="C16" s="10" t="s">
        <v>22</v>
      </c>
      <c r="D16" s="7" t="s">
        <v>36</v>
      </c>
      <c r="E16" s="7" t="s">
        <v>36</v>
      </c>
      <c r="F16" s="7" t="s">
        <v>36</v>
      </c>
      <c r="G16" s="7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0"/>
    <col customWidth="1" min="3" max="3" width="17.0"/>
    <col customWidth="1" min="4" max="4" width="72.0"/>
    <col customWidth="1" min="5" max="5" width="12.0"/>
    <col customWidth="1" min="6" max="6" width="15.0"/>
    <col customWidth="1" min="7" max="7" width="81.0"/>
    <col customWidth="1" min="8" max="8" width="12.0"/>
  </cols>
  <sheetData>
    <row r="2">
      <c r="B2" s="1" t="s">
        <v>1</v>
      </c>
    </row>
    <row r="5">
      <c r="B5" s="3" t="s">
        <v>3</v>
      </c>
      <c r="C5" s="3" t="s">
        <v>6</v>
      </c>
      <c r="D5" s="4" t="s">
        <v>7</v>
      </c>
      <c r="E5" s="3" t="s">
        <v>10</v>
      </c>
      <c r="F5" s="3" t="s">
        <v>12</v>
      </c>
      <c r="G5" s="4" t="s">
        <v>13</v>
      </c>
      <c r="H5" s="3" t="s">
        <v>15</v>
      </c>
    </row>
    <row r="6">
      <c r="B6" s="7" t="s">
        <v>17</v>
      </c>
      <c r="C6" s="7" t="s">
        <v>20</v>
      </c>
      <c r="D6" s="8" t="s">
        <v>21</v>
      </c>
      <c r="E6" s="7" t="s">
        <v>23</v>
      </c>
      <c r="F6" s="7" t="s">
        <v>24</v>
      </c>
      <c r="G6" s="8" t="s">
        <v>27</v>
      </c>
      <c r="H6" s="7" t="s">
        <v>29</v>
      </c>
    </row>
    <row r="7">
      <c r="B7" s="12" t="s">
        <v>30</v>
      </c>
      <c r="C7" s="12" t="s">
        <v>31</v>
      </c>
      <c r="D7" s="13" t="s">
        <v>33</v>
      </c>
      <c r="E7" s="12" t="s">
        <v>23</v>
      </c>
      <c r="F7" s="12" t="s">
        <v>34</v>
      </c>
      <c r="G7" s="13" t="s">
        <v>35</v>
      </c>
      <c r="H7" s="12" t="s">
        <v>37</v>
      </c>
    </row>
    <row r="8">
      <c r="B8" s="7" t="s">
        <v>38</v>
      </c>
      <c r="C8" s="7" t="s">
        <v>39</v>
      </c>
      <c r="D8" s="8" t="s">
        <v>40</v>
      </c>
      <c r="E8" s="7" t="s">
        <v>23</v>
      </c>
      <c r="F8" s="7" t="s">
        <v>42</v>
      </c>
      <c r="G8" s="8" t="s">
        <v>44</v>
      </c>
      <c r="H8" s="7" t="s">
        <v>46</v>
      </c>
    </row>
    <row r="9">
      <c r="B9" s="12" t="s">
        <v>47</v>
      </c>
      <c r="C9" s="12" t="s">
        <v>48</v>
      </c>
      <c r="D9" s="13" t="s">
        <v>50</v>
      </c>
      <c r="E9" s="12" t="s">
        <v>51</v>
      </c>
      <c r="F9" s="12" t="s">
        <v>42</v>
      </c>
      <c r="G9" s="13" t="s">
        <v>53</v>
      </c>
      <c r="H9" s="12" t="s">
        <v>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